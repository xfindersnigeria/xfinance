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2" sheetId="1" r:id="rId4"/>
  </sheets>
</workbook>
</file>

<file path=xl/sharedStrings.xml><?xml version="1.0" encoding="utf-8"?>
<sst xmlns="http://schemas.openxmlformats.org/spreadsheetml/2006/main" uniqueCount="31">
  <si>
    <t>PAY AS YOU EARN COMPUTATION</t>
  </si>
  <si>
    <t>NAME ORGANISATION:</t>
  </si>
  <si>
    <t>ASSESSMENT YEAR:</t>
  </si>
  <si>
    <t>ELIGIBLE DEDUCTIONS</t>
  </si>
  <si>
    <t>S/N</t>
  </si>
  <si>
    <t>EMPLOYEE NAME</t>
  </si>
  <si>
    <t>TAX IDENTIFICATION</t>
  </si>
  <si>
    <t>ANNUAL GROSS EMOLUMENTS</t>
  </si>
  <si>
    <t>ANNUAL RENT</t>
  </si>
  <si>
    <t>RENT</t>
  </si>
  <si>
    <t>NHF</t>
  </si>
  <si>
    <t>NHIS</t>
  </si>
  <si>
    <t>PENSION CONTRIBUTION</t>
  </si>
  <si>
    <t>TOTAL ELIGIBLE DEDUCTIONS</t>
  </si>
  <si>
    <t>CHARGEABLE INCOME</t>
  </si>
  <si>
    <t>1ST 800,000 @ 0%</t>
  </si>
  <si>
    <t>NEXT 2,200,000 @ 15%</t>
  </si>
  <si>
    <t>NEXT 9,000,000  @ 18%</t>
  </si>
  <si>
    <t>NEXT 13,000,000 @ 21%</t>
  </si>
  <si>
    <t>NEXT 25000000 @ 23%</t>
  </si>
  <si>
    <t>EXCESS OF 50000000 @ 25%</t>
  </si>
  <si>
    <t>ANNUAL TAX DUE</t>
  </si>
  <si>
    <t>MONTHLY TAX DUE</t>
  </si>
  <si>
    <t>FCT TAXPAYER ID</t>
  </si>
  <si>
    <t>RELIEF</t>
  </si>
  <si>
    <t>2.5% of Annual
Income</t>
  </si>
  <si>
    <t>1.75% of Annual 
Emoluments</t>
  </si>
  <si>
    <t>8% of the Gross Salary</t>
  </si>
  <si>
    <t>Enter Total Annual Earnings Here</t>
  </si>
  <si>
    <t>Lower of  the actual
rent paid or N500,000</t>
  </si>
  <si>
    <t>Leave as computed if dedeuctions tally, otherwise, enter correct deductions. Note: You may be required to show evidence of deductions and remittance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</si>
</sst>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 &quot;* (#,##0.00);&quot; &quot;* &quot;-&quot;??&quot; &quot;"/>
    <numFmt numFmtId="60" formatCode="#,##0&quot; &quot;;(#,##0)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8"/>
      <color indexed="8"/>
      <name val="Tahoma"/>
    </font>
    <font>
      <b val="1"/>
      <u val="single"/>
      <sz val="8"/>
      <color indexed="8"/>
      <name val="Tahoma"/>
    </font>
    <font>
      <b val="1"/>
      <sz val="8"/>
      <color indexed="10"/>
      <name val="Tahoma"/>
    </font>
    <font>
      <sz val="8"/>
      <color indexed="8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2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3"/>
      </bottom>
      <diagonal/>
    </border>
    <border>
      <left style="thin">
        <color indexed="8"/>
      </left>
      <right style="thin">
        <color indexed="13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8"/>
      </right>
      <top style="thin">
        <color indexed="13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59" fontId="3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0" fontId="3" fillId="2" borderId="1" applyNumberFormat="0" applyFont="1" applyFill="1" applyBorder="1" applyAlignment="1" applyProtection="0">
      <alignment vertical="bottom"/>
    </xf>
    <xf numFmtId="59" fontId="4" fillId="2" borderId="1" applyNumberFormat="1" applyFont="1" applyFill="1" applyBorder="1" applyAlignment="1" applyProtection="0">
      <alignment vertical="bottom"/>
    </xf>
    <xf numFmtId="0" fontId="4" fillId="2" borderId="1" applyNumberFormat="1" applyFont="1" applyFill="1" applyBorder="1" applyAlignment="1" applyProtection="0">
      <alignment vertical="bottom"/>
    </xf>
    <xf numFmtId="49" fontId="5" fillId="3" borderId="2" applyNumberFormat="1" applyFont="1" applyFill="1" applyBorder="1" applyAlignment="1" applyProtection="0">
      <alignment horizontal="center" vertical="bottom"/>
    </xf>
    <xf numFmtId="0" fontId="5" fillId="3" borderId="3" applyNumberFormat="0" applyFont="1" applyFill="1" applyBorder="1" applyAlignment="1" applyProtection="0">
      <alignment horizontal="center" vertical="bottom"/>
    </xf>
    <xf numFmtId="0" fontId="5" fillId="3" borderId="4" applyNumberFormat="0" applyFont="1" applyFill="1" applyBorder="1" applyAlignment="1" applyProtection="0">
      <alignment horizontal="center" vertical="bottom"/>
    </xf>
    <xf numFmtId="49" fontId="4" fillId="2" borderId="5" applyNumberFormat="1" applyFont="1" applyFill="1" applyBorder="1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3" borderId="1" applyNumberFormat="1" applyFont="1" applyFill="1" applyBorder="1" applyAlignment="1" applyProtection="0">
      <alignment horizontal="center" vertical="center" wrapText="1"/>
    </xf>
    <xf numFmtId="49" fontId="3" fillId="3" borderId="1" applyNumberFormat="1" applyFont="1" applyFill="1" applyBorder="1" applyAlignment="1" applyProtection="0">
      <alignment horizontal="center" vertical="bottom"/>
    </xf>
    <xf numFmtId="49" fontId="3" fillId="3" borderId="1" applyNumberFormat="1" applyFont="1" applyFill="1" applyBorder="1" applyAlignment="1" applyProtection="0">
      <alignment vertical="bottom"/>
    </xf>
    <xf numFmtId="49" fontId="3" fillId="2" borderId="8" applyNumberFormat="1" applyFont="1" applyFill="1" applyBorder="1" applyAlignment="1" applyProtection="0">
      <alignment horizontal="center" vertical="bottom" wrapText="1"/>
    </xf>
    <xf numFmtId="49" fontId="5" fillId="2" borderId="8" applyNumberFormat="1" applyFont="1" applyFill="1" applyBorder="1" applyAlignment="1" applyProtection="0">
      <alignment horizontal="center" vertical="bottom" wrapText="1"/>
    </xf>
    <xf numFmtId="49" fontId="3" fillId="2" borderId="1" applyNumberFormat="1" applyFont="1" applyFill="1" applyBorder="1" applyAlignment="1" applyProtection="0">
      <alignment horizontal="center" vertical="bottom" wrapText="1"/>
    </xf>
    <xf numFmtId="59" fontId="3" fillId="3" borderId="1" applyNumberFormat="1" applyFont="1" applyFill="1" applyBorder="1" applyAlignment="1" applyProtection="0">
      <alignment horizontal="center" vertical="center" wrapText="1"/>
    </xf>
    <xf numFmtId="49" fontId="3" fillId="3" borderId="1" applyNumberFormat="1" applyFont="1" applyFill="1" applyBorder="1" applyAlignment="1" applyProtection="0">
      <alignment horizontal="center" vertical="bottom" wrapText="1"/>
    </xf>
    <xf numFmtId="59" fontId="3" fillId="2" borderId="9" applyNumberFormat="1" applyFont="1" applyFill="1" applyBorder="1" applyAlignment="1" applyProtection="0">
      <alignment horizontal="center" vertical="bottom" wrapText="1"/>
    </xf>
    <xf numFmtId="59" fontId="5" fillId="2" borderId="10" applyNumberFormat="1" applyFont="1" applyFill="1" applyBorder="1" applyAlignment="1" applyProtection="0">
      <alignment horizontal="center" vertical="bottom" wrapText="1"/>
    </xf>
    <xf numFmtId="59" fontId="3" fillId="2" borderId="1" applyNumberFormat="1" applyFont="1" applyFill="1" applyBorder="1" applyAlignment="1" applyProtection="0">
      <alignment horizontal="center" vertical="bottom" wrapText="1"/>
    </xf>
    <xf numFmtId="0" fontId="0" fillId="2" borderId="1" applyNumberFormat="0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vertical="top" wrapText="1"/>
    </xf>
    <xf numFmtId="59" fontId="3" fillId="2" borderId="1" applyNumberFormat="1" applyFont="1" applyFill="1" applyBorder="1" applyAlignment="1" applyProtection="0">
      <alignment horizontal="center" vertical="bottom"/>
    </xf>
    <xf numFmtId="49" fontId="5" fillId="2" borderId="1" applyNumberFormat="1" applyFont="1" applyFill="1" applyBorder="1" applyAlignment="1" applyProtection="0">
      <alignment horizontal="center" vertical="top" wrapText="1"/>
    </xf>
    <xf numFmtId="49" fontId="3" fillId="2" borderId="1" applyNumberFormat="1" applyFont="1" applyFill="1" applyBorder="1" applyAlignment="1" applyProtection="0">
      <alignment horizontal="center" vertical="top" wrapText="1"/>
    </xf>
    <xf numFmtId="59" fontId="3" fillId="2" borderId="1" applyNumberFormat="1" applyFont="1" applyFill="1" applyBorder="1" applyAlignment="1" applyProtection="0">
      <alignment horizontal="center" vertical="top" wrapText="1"/>
    </xf>
    <xf numFmtId="59" fontId="5" fillId="2" borderId="9" applyNumberFormat="1" applyFont="1" applyFill="1" applyBorder="1" applyAlignment="1" applyProtection="0">
      <alignment horizontal="center" vertical="bottom" wrapText="1"/>
    </xf>
    <xf numFmtId="59" fontId="3" fillId="2" borderId="11" applyNumberFormat="1" applyFont="1" applyFill="1" applyBorder="1" applyAlignment="1" applyProtection="0">
      <alignment horizontal="center" vertical="bottom"/>
    </xf>
    <xf numFmtId="0" fontId="6" fillId="2" borderId="1" applyNumberFormat="1" applyFont="1" applyFill="1" applyBorder="1" applyAlignment="1" applyProtection="0">
      <alignment horizontal="right" vertical="bottom"/>
    </xf>
    <xf numFmtId="1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horizontal="center" vertical="center"/>
    </xf>
    <xf numFmtId="59" fontId="0" fillId="2" borderId="12" applyNumberFormat="1" applyFont="1" applyFill="1" applyBorder="1" applyAlignment="1" applyProtection="0">
      <alignment vertical="bottom"/>
    </xf>
    <xf numFmtId="59" fontId="0" fillId="2" borderId="13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eeece1"/>
      <rgbColor rgb="ffaaaaaa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S16"/>
  <sheetViews>
    <sheetView workbookViewId="0" showGridLines="0" defaultGridColor="1"/>
  </sheetViews>
  <sheetFormatPr defaultColWidth="8.83333" defaultRowHeight="10.2" customHeight="1" outlineLevelRow="0" outlineLevelCol="0"/>
  <cols>
    <col min="1" max="1" width="3.5" style="1" customWidth="1"/>
    <col min="2" max="2" width="24" style="1" customWidth="1"/>
    <col min="3" max="3" width="25.8516" style="1" customWidth="1"/>
    <col min="4" max="4" width="22.8516" style="1" customWidth="1"/>
    <col min="5" max="5" width="14.8516" style="1" customWidth="1"/>
    <col min="6" max="6" width="20" style="1" customWidth="1"/>
    <col min="7" max="7" width="15.8516" style="1" customWidth="1"/>
    <col min="8" max="8" width="16.1719" style="1" customWidth="1"/>
    <col min="9" max="9" width="20.8516" style="1" customWidth="1"/>
    <col min="10" max="10" width="21.8516" style="1" customWidth="1"/>
    <col min="11" max="11" width="21.3516" style="1" customWidth="1"/>
    <col min="12" max="12" width="16" style="1" customWidth="1"/>
    <col min="13" max="13" width="18.5" style="1" customWidth="1"/>
    <col min="14" max="14" width="18.8516" style="1" customWidth="1"/>
    <col min="15" max="15" width="16.8516" style="1" customWidth="1"/>
    <col min="16" max="16" width="17.5" style="1" customWidth="1"/>
    <col min="17" max="17" width="22" style="1" customWidth="1"/>
    <col min="18" max="18" width="14.8516" style="1" customWidth="1"/>
    <col min="19" max="19" width="20.5" style="1" customWidth="1"/>
    <col min="20" max="16384" width="8.85156" style="1" customWidth="1"/>
  </cols>
  <sheetData>
    <row r="1" ht="13" customHeight="1">
      <c r="A1" t="s" s="2">
        <v>0</v>
      </c>
      <c r="B1" s="3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ht="13" customHeight="1">
      <c r="A2" t="s" s="2">
        <v>1</v>
      </c>
      <c r="B2" s="5"/>
      <c r="C2" s="5"/>
      <c r="D2" s="6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ht="13" customHeight="1">
      <c r="A3" t="s" s="2">
        <v>2</v>
      </c>
      <c r="B3" s="5"/>
      <c r="C3" s="5"/>
      <c r="D3" s="7">
        <v>2026</v>
      </c>
      <c r="E3" t="s" s="8">
        <v>3</v>
      </c>
      <c r="F3" s="9"/>
      <c r="G3" s="9"/>
      <c r="H3" s="9"/>
      <c r="I3" s="10"/>
      <c r="J3" s="4"/>
      <c r="K3" s="4"/>
      <c r="L3" s="4"/>
      <c r="M3" s="4"/>
      <c r="N3" s="4"/>
      <c r="O3" s="4"/>
      <c r="P3" s="4"/>
      <c r="Q3" s="4"/>
      <c r="R3" s="4"/>
      <c r="S3" s="4"/>
    </row>
    <row r="4" ht="13" customHeight="1">
      <c r="A4" t="s" s="2">
        <v>4</v>
      </c>
      <c r="B4" t="s" s="11">
        <v>5</v>
      </c>
      <c r="C4" t="s" s="12">
        <v>6</v>
      </c>
      <c r="D4" t="s" s="13">
        <v>7</v>
      </c>
      <c r="E4" t="s" s="14">
        <v>8</v>
      </c>
      <c r="F4" t="s" s="15">
        <v>9</v>
      </c>
      <c r="G4" t="s" s="16">
        <v>10</v>
      </c>
      <c r="H4" t="s" s="16">
        <v>11</v>
      </c>
      <c r="I4" t="s" s="16">
        <v>12</v>
      </c>
      <c r="J4" t="s" s="17">
        <v>13</v>
      </c>
      <c r="K4" t="s" s="18">
        <v>14</v>
      </c>
      <c r="L4" t="s" s="19">
        <v>15</v>
      </c>
      <c r="M4" t="s" s="19">
        <v>16</v>
      </c>
      <c r="N4" t="s" s="19">
        <v>17</v>
      </c>
      <c r="O4" t="s" s="19">
        <v>18</v>
      </c>
      <c r="P4" t="s" s="19">
        <v>19</v>
      </c>
      <c r="Q4" t="s" s="19">
        <v>20</v>
      </c>
      <c r="R4" t="s" s="19">
        <v>21</v>
      </c>
      <c r="S4" t="s" s="19">
        <v>22</v>
      </c>
    </row>
    <row r="5" ht="38.2" customHeight="1">
      <c r="A5" s="5"/>
      <c r="B5" s="6"/>
      <c r="C5" t="s" s="2">
        <v>23</v>
      </c>
      <c r="D5" s="4"/>
      <c r="E5" s="20"/>
      <c r="F5" t="s" s="15">
        <v>24</v>
      </c>
      <c r="G5" t="s" s="21">
        <v>25</v>
      </c>
      <c r="H5" t="s" s="21">
        <v>26</v>
      </c>
      <c r="I5" t="s" s="15">
        <v>27</v>
      </c>
      <c r="J5" s="22"/>
      <c r="K5" s="23"/>
      <c r="L5" s="24"/>
      <c r="M5" s="24"/>
      <c r="N5" s="24"/>
      <c r="O5" s="24"/>
      <c r="P5" s="24"/>
      <c r="Q5" s="24"/>
      <c r="R5" s="24"/>
      <c r="S5" s="24"/>
    </row>
    <row r="6" ht="31.5" customHeight="1">
      <c r="A6" s="25"/>
      <c r="B6" s="4"/>
      <c r="C6" s="4"/>
      <c r="D6" t="s" s="26">
        <v>28</v>
      </c>
      <c r="E6" s="27"/>
      <c r="F6" t="s" s="28">
        <v>29</v>
      </c>
      <c r="G6" t="s" s="29">
        <v>30</v>
      </c>
      <c r="H6" s="30"/>
      <c r="I6" s="30"/>
      <c r="J6" s="27"/>
      <c r="K6" s="31"/>
      <c r="L6" s="27"/>
      <c r="M6" s="27"/>
      <c r="N6" s="27"/>
      <c r="O6" s="32"/>
      <c r="P6" s="27"/>
      <c r="Q6" s="3"/>
      <c r="R6" s="3"/>
      <c r="S6" s="3"/>
    </row>
    <row r="7" ht="15.6" customHeight="1">
      <c r="A7" s="33">
        <v>1</v>
      </c>
      <c r="B7" s="25"/>
      <c r="C7" s="34"/>
      <c r="D7" s="4"/>
      <c r="E7" s="4"/>
      <c r="F7" s="35">
        <f>MIN(0.2*E7,500000)</f>
        <v>0</v>
      </c>
      <c r="G7" s="4">
        <f>D7*2.5%</f>
        <v>0</v>
      </c>
      <c r="H7" s="4">
        <f>D7*1.75%</f>
        <v>0</v>
      </c>
      <c r="I7" s="4">
        <f>D7*8%</f>
        <v>0</v>
      </c>
      <c r="J7" s="4">
        <f>SUM(F7:I7)</f>
        <v>0</v>
      </c>
      <c r="K7" s="4">
        <f>(D7-J7)</f>
        <v>0</v>
      </c>
      <c r="L7" s="4">
        <f>(K7*0%)</f>
        <v>0</v>
      </c>
      <c r="M7" s="4">
        <f>IF((K7-800000)&lt;=0,0,IF((K7-800000)&gt;=2200000,2200000*15%,(K7-800000)*15%))</f>
        <v>0</v>
      </c>
      <c r="N7" s="36">
        <f>IF((K7-(3000000))&lt;=0,0,IF((K7-(3000000))&gt;=9000000,9000000*18%,(K7-(3000000))*18%))</f>
        <v>0</v>
      </c>
      <c r="O7" s="37">
        <f>IF((K7-(12000000))&lt;=0,0,IF((K7-(12000000))&gt;=13000000,13000000*21%,(K7-(12000000))*21%))</f>
        <v>0</v>
      </c>
      <c r="P7" s="4">
        <f>IF((K7-(25000000))&lt;=0,0,IF((K7-(25000000))&gt;=25000000,25000000*23%,(K7-(25000000))*23%))</f>
        <v>0</v>
      </c>
      <c r="Q7" s="4">
        <f>IF((K7-(50000000))&lt;=0,0,(K7-(50000000))*25%)</f>
        <v>0</v>
      </c>
      <c r="R7" s="4">
        <f>SUM(L7:Q7)</f>
        <v>0</v>
      </c>
      <c r="S7" s="4">
        <f>R7/12</f>
        <v>0</v>
      </c>
    </row>
    <row r="8" ht="15.6" customHeight="1">
      <c r="A8" s="33">
        <v>2</v>
      </c>
      <c r="B8" s="25"/>
      <c r="C8" s="25"/>
      <c r="D8" s="4"/>
      <c r="E8" s="4"/>
      <c r="F8" s="35">
        <f>MIN(0.2*E8,500000)</f>
        <v>0</v>
      </c>
      <c r="G8" s="4">
        <f>D8*2.5%</f>
        <v>0</v>
      </c>
      <c r="H8" s="4">
        <f>D8*1.75%</f>
        <v>0</v>
      </c>
      <c r="I8" s="4">
        <f>D8*8%</f>
        <v>0</v>
      </c>
      <c r="J8" s="4">
        <f>SUM(F8:I8)</f>
        <v>0</v>
      </c>
      <c r="K8" s="4">
        <f>(D8-J8)</f>
        <v>0</v>
      </c>
      <c r="L8" s="4">
        <f>(K8*0%)</f>
        <v>0</v>
      </c>
      <c r="M8" s="4">
        <f>IF((K8-800000)&lt;=0,0,IF((K8-800000)&gt;=2200000,2200000*15%,(K8-800000)*15%))</f>
        <v>0</v>
      </c>
      <c r="N8" s="36">
        <f>IF((K8-(3000000))&lt;=0,0,IF((K8-(3000000))&gt;=9000000,9000000*18%,(K8-(3000000))*18%))</f>
        <v>0</v>
      </c>
      <c r="O8" s="37">
        <f>IF((K8-(12000000))&lt;=0,0,IF((K8-(12000000))&gt;=13000000,13000000*21%,(K8-(12000000))*21%))</f>
        <v>0</v>
      </c>
      <c r="P8" s="4">
        <f>IF((K8-(25000000))&lt;=0,0,IF((K8-(25000000))&gt;=25000000,25000000*23%,(K8-(25000000))*23%))</f>
        <v>0</v>
      </c>
      <c r="Q8" s="4">
        <f>IF((K8-(50000000))&lt;=0,0,(K8-(50000000))*25%)</f>
        <v>0</v>
      </c>
      <c r="R8" s="4">
        <f>SUM(L8:Q8)</f>
        <v>0</v>
      </c>
      <c r="S8" s="4">
        <f>R8/12</f>
        <v>0</v>
      </c>
    </row>
    <row r="9" ht="15.6" customHeight="1">
      <c r="A9" s="33">
        <v>3</v>
      </c>
      <c r="B9" s="25"/>
      <c r="C9" s="25"/>
      <c r="D9" s="4"/>
      <c r="E9" s="4"/>
      <c r="F9" s="35">
        <f>MIN(0.2*E9,500000)</f>
        <v>0</v>
      </c>
      <c r="G9" s="4">
        <f>D9*2.5%</f>
        <v>0</v>
      </c>
      <c r="H9" s="4">
        <f>D9*1.75%</f>
        <v>0</v>
      </c>
      <c r="I9" s="4">
        <f>D9*8%</f>
        <v>0</v>
      </c>
      <c r="J9" s="4">
        <f>SUM(F9:I9)</f>
        <v>0</v>
      </c>
      <c r="K9" s="4">
        <f>(D9-J9)</f>
        <v>0</v>
      </c>
      <c r="L9" s="4">
        <f>(K9*0%)</f>
        <v>0</v>
      </c>
      <c r="M9" s="4">
        <f>IF((K9-800000)&lt;=0,0,IF((K9-800000)&gt;=2200000,2200000*15%,(K9-800000)*15%))</f>
        <v>0</v>
      </c>
      <c r="N9" s="36">
        <f>IF((K9-(3000000))&lt;=0,0,IF((K9-(3000000))&gt;=9000000,9000000*18%,(K9-(3000000))*18%))</f>
        <v>0</v>
      </c>
      <c r="O9" s="37">
        <f>IF((K9-(12000000))&lt;=0,0,IF((K9-(12000000))&gt;=13000000,13000000*21%,(K9-(12000000))*21%))</f>
        <v>0</v>
      </c>
      <c r="P9" s="4">
        <f>IF((K9-(25000000))&lt;=0,0,IF((K9-(25000000))&gt;=25000000,25000000*23%,(K9-(25000000))*23%))</f>
        <v>0</v>
      </c>
      <c r="Q9" s="4">
        <f>IF((K9-(50000000))&lt;=0,0,(K9-(50000000))*25%)</f>
        <v>0</v>
      </c>
      <c r="R9" s="4">
        <f>SUM(L9:Q9)</f>
        <v>0</v>
      </c>
      <c r="S9" s="4">
        <f>R9/12</f>
        <v>0</v>
      </c>
    </row>
    <row r="10" ht="15.6" customHeight="1">
      <c r="A10" s="33">
        <v>4</v>
      </c>
      <c r="B10" s="25"/>
      <c r="C10" s="25"/>
      <c r="D10" s="4"/>
      <c r="E10" s="4"/>
      <c r="F10" s="35">
        <f>MIN(0.2*E10,500000)</f>
        <v>0</v>
      </c>
      <c r="G10" s="4">
        <f>D10*2.5%</f>
        <v>0</v>
      </c>
      <c r="H10" s="4">
        <f>D10*1.75%</f>
        <v>0</v>
      </c>
      <c r="I10" s="4">
        <f>D10*8%</f>
        <v>0</v>
      </c>
      <c r="J10" s="4">
        <f>SUM(F10:I10)</f>
        <v>0</v>
      </c>
      <c r="K10" s="4">
        <f>(D10-J10)</f>
        <v>0</v>
      </c>
      <c r="L10" s="4">
        <f>(K10*0%)</f>
        <v>0</v>
      </c>
      <c r="M10" s="4">
        <f>IF((K10-800000)&lt;=0,0,IF((K10-800000)&gt;=2200000,2200000*15%,(K10-800000)*15%))</f>
        <v>0</v>
      </c>
      <c r="N10" s="36">
        <f>IF((K10-(3000000))&lt;=0,0,IF((K10-(3000000))&gt;=9000000,9000000*18%,(K10-(3000000))*18%))</f>
        <v>0</v>
      </c>
      <c r="O10" s="37">
        <f>IF((K10-(12000000))&lt;=0,0,IF((K10-(12000000))&gt;=13000000,13000000*21%,(K10-(12000000))*21%))</f>
        <v>0</v>
      </c>
      <c r="P10" s="4">
        <f>IF((K10-(25000000))&lt;=0,0,IF((K10-(25000000))&gt;=25000000,25000000*23%,(K10-(25000000))*23%))</f>
        <v>0</v>
      </c>
      <c r="Q10" s="4">
        <f>IF((K10-(50000000))&lt;=0,0,(K10-(50000000))*25%)</f>
        <v>0</v>
      </c>
      <c r="R10" s="4">
        <f>SUM(L10:Q10)</f>
        <v>0</v>
      </c>
      <c r="S10" s="4">
        <f>R10/12</f>
        <v>0</v>
      </c>
    </row>
    <row r="11" ht="15.6" customHeight="1">
      <c r="A11" s="33">
        <v>5</v>
      </c>
      <c r="B11" s="25"/>
      <c r="C11" s="25"/>
      <c r="D11" s="4"/>
      <c r="E11" s="4"/>
      <c r="F11" s="35">
        <f>MIN(0.2*E11,500000)</f>
        <v>0</v>
      </c>
      <c r="G11" s="4">
        <f>D11*2.5%</f>
        <v>0</v>
      </c>
      <c r="H11" s="4">
        <f>D11*1.75%</f>
        <v>0</v>
      </c>
      <c r="I11" s="4">
        <f>D11*8%</f>
        <v>0</v>
      </c>
      <c r="J11" s="4">
        <f>SUM(F11:I11)</f>
        <v>0</v>
      </c>
      <c r="K11" s="4">
        <f>(D11-J11)</f>
        <v>0</v>
      </c>
      <c r="L11" s="4">
        <f>(K11*0%)</f>
        <v>0</v>
      </c>
      <c r="M11" s="4">
        <f>IF((K11-800000)&lt;=0,0,IF((K11-800000)&gt;=2200000,2200000*15%,(K11-800000)*15%))</f>
        <v>0</v>
      </c>
      <c r="N11" s="36">
        <f>IF((K11-(3000000))&lt;=0,0,IF((K11-(3000000))&gt;=9000000,9000000*18%,(K11-(3000000))*18%))</f>
        <v>0</v>
      </c>
      <c r="O11" s="37">
        <f>IF((K11-(12000000))&lt;=0,0,IF((K11-(12000000))&gt;=13000000,13000000*21%,(K11-(12000000))*21%))</f>
        <v>0</v>
      </c>
      <c r="P11" s="4">
        <f>IF((K11-(25000000))&lt;=0,0,IF((K11-(25000000))&gt;=25000000,25000000*23%,(K11-(25000000))*23%))</f>
        <v>0</v>
      </c>
      <c r="Q11" s="4">
        <f>IF((K11-(50000000))&lt;=0,0,(K11-(50000000))*25%)</f>
        <v>0</v>
      </c>
      <c r="R11" s="4">
        <f>SUM(L11:Q11)</f>
        <v>0</v>
      </c>
      <c r="S11" s="4">
        <f>R11/12</f>
        <v>0</v>
      </c>
    </row>
    <row r="12" ht="15.6" customHeight="1">
      <c r="A12" s="33">
        <v>6</v>
      </c>
      <c r="B12" s="25"/>
      <c r="C12" s="25"/>
      <c r="D12" s="4"/>
      <c r="E12" s="4"/>
      <c r="F12" s="35">
        <f>MIN(0.2*E12,500000)</f>
        <v>0</v>
      </c>
      <c r="G12" s="4">
        <f>D12*2.5%</f>
        <v>0</v>
      </c>
      <c r="H12" s="4">
        <f>D12*1.75%</f>
        <v>0</v>
      </c>
      <c r="I12" s="4">
        <f>D12*8%</f>
        <v>0</v>
      </c>
      <c r="J12" s="4">
        <f>SUM(F12:I12)</f>
        <v>0</v>
      </c>
      <c r="K12" s="4">
        <f>(D12-J12)</f>
        <v>0</v>
      </c>
      <c r="L12" s="4">
        <f>(K12*0%)</f>
        <v>0</v>
      </c>
      <c r="M12" s="4">
        <f>IF((K12-800000)&lt;=0,0,IF((K12-800000)&gt;=2200000,2200000*15%,(K12-800000)*15%))</f>
        <v>0</v>
      </c>
      <c r="N12" s="36">
        <f>IF((K12-(3000000))&lt;=0,0,IF((K12-(3000000))&gt;=9000000,9000000*18%,(K12-(3000000))*18%))</f>
        <v>0</v>
      </c>
      <c r="O12" s="37">
        <f>IF((K12-(12000000))&lt;=0,0,IF((K12-(12000000))&gt;=13000000,13000000*21%,(K12-(12000000))*21%))</f>
        <v>0</v>
      </c>
      <c r="P12" s="4">
        <f>IF((K12-(25000000))&lt;=0,0,IF((K12-(25000000))&gt;=25000000,25000000*23%,(K12-(25000000))*23%))</f>
        <v>0</v>
      </c>
      <c r="Q12" s="4">
        <f>IF((K12-(50000000))&lt;=0,0,(K12-(50000000))*25%)</f>
        <v>0</v>
      </c>
      <c r="R12" s="4">
        <f>SUM(L12:Q12)</f>
        <v>0</v>
      </c>
      <c r="S12" s="4">
        <f>R12/12</f>
        <v>0</v>
      </c>
    </row>
    <row r="13" ht="15.6" customHeight="1">
      <c r="A13" s="33">
        <v>7</v>
      </c>
      <c r="B13" s="25"/>
      <c r="C13" s="25"/>
      <c r="D13" s="4"/>
      <c r="E13" s="4"/>
      <c r="F13" s="35">
        <f>MIN(0.2*E13,500000)</f>
        <v>0</v>
      </c>
      <c r="G13" s="4">
        <f>D13*2.5%</f>
        <v>0</v>
      </c>
      <c r="H13" s="4">
        <f>D13*1.75%</f>
        <v>0</v>
      </c>
      <c r="I13" s="4">
        <f>D13*8%</f>
        <v>0</v>
      </c>
      <c r="J13" s="4">
        <f>SUM(F13:I13)</f>
        <v>0</v>
      </c>
      <c r="K13" s="4">
        <f>(D13-J13)</f>
        <v>0</v>
      </c>
      <c r="L13" s="4">
        <f>(K13*0%)</f>
        <v>0</v>
      </c>
      <c r="M13" s="4">
        <f>IF((K13-800000)&lt;=0,0,IF((K13-800000)&gt;=2200000,2200000*15%,(K13-800000)*15%))</f>
        <v>0</v>
      </c>
      <c r="N13" s="36">
        <f>IF((K13-(3000000))&lt;=0,0,IF((K13-(3000000))&gt;=9000000,9000000*18%,(K13-(3000000))*18%))</f>
        <v>0</v>
      </c>
      <c r="O13" s="37">
        <f>IF((K13-(12000000))&lt;=0,0,IF((K13-(12000000))&gt;=13000000,13000000*21%,(K13-(12000000))*21%))</f>
        <v>0</v>
      </c>
      <c r="P13" s="4">
        <f>IF((K13-(25000000))&lt;=0,0,IF((K13-(25000000))&gt;=25000000,25000000*23%,(K13-(25000000))*23%))</f>
        <v>0</v>
      </c>
      <c r="Q13" s="4">
        <f>IF((K13-(50000000))&lt;=0,0,(K13-(50000000))*25%)</f>
        <v>0</v>
      </c>
      <c r="R13" s="4">
        <f>SUM(L13:Q13)</f>
        <v>0</v>
      </c>
      <c r="S13" s="4">
        <f>R13/12</f>
        <v>0</v>
      </c>
    </row>
    <row r="14" ht="15.6" customHeight="1">
      <c r="A14" s="33">
        <v>8</v>
      </c>
      <c r="B14" s="25"/>
      <c r="C14" s="25"/>
      <c r="D14" s="4"/>
      <c r="E14" s="4"/>
      <c r="F14" s="35">
        <f>MIN(0.2*E14,500000)</f>
        <v>0</v>
      </c>
      <c r="G14" s="4">
        <f>D14*2.5%</f>
        <v>0</v>
      </c>
      <c r="H14" s="4">
        <f>D14*1.75%</f>
        <v>0</v>
      </c>
      <c r="I14" s="4">
        <f>D14*8%</f>
        <v>0</v>
      </c>
      <c r="J14" s="4">
        <f>SUM(F14:I14)</f>
        <v>0</v>
      </c>
      <c r="K14" s="4">
        <f>(D14-J14)</f>
        <v>0</v>
      </c>
      <c r="L14" s="4">
        <f>(K14*0%)</f>
        <v>0</v>
      </c>
      <c r="M14" s="4">
        <f>IF((K14-800000)&lt;=0,0,IF((K14-800000)&gt;=2200000,2200000*15%,(K14-800000)*15%))</f>
        <v>0</v>
      </c>
      <c r="N14" s="36">
        <f>IF((K14-(3000000))&lt;=0,0,IF((K14-(3000000))&gt;=9000000,9000000*18%,(K14-(3000000))*18%))</f>
        <v>0</v>
      </c>
      <c r="O14" s="37">
        <f>IF((K14-(12000000))&lt;=0,0,IF((K14-(12000000))&gt;=13000000,13000000*21%,(K14-(12000000))*21%))</f>
        <v>0</v>
      </c>
      <c r="P14" s="4">
        <f>IF((K14-(25000000))&lt;=0,0,IF((K14-(25000000))&gt;=25000000,25000000*23%,(K14-(25000000))*23%))</f>
        <v>0</v>
      </c>
      <c r="Q14" s="4">
        <f>IF((K14-(50000000))&lt;=0,0,(K14-(50000000))*25%)</f>
        <v>0</v>
      </c>
      <c r="R14" s="4">
        <f>SUM(L14:Q14)</f>
        <v>0</v>
      </c>
      <c r="S14" s="4">
        <f>R14/12</f>
        <v>0</v>
      </c>
    </row>
    <row r="15" ht="15.6" customHeight="1">
      <c r="A15" s="33">
        <v>9</v>
      </c>
      <c r="B15" s="25"/>
      <c r="C15" s="25"/>
      <c r="D15" s="4"/>
      <c r="E15" s="4"/>
      <c r="F15" s="35">
        <f>MIN(0.2*E15,500000)</f>
        <v>0</v>
      </c>
      <c r="G15" s="4">
        <f>D15*2.5%</f>
        <v>0</v>
      </c>
      <c r="H15" s="4">
        <f>D15*1.75%</f>
        <v>0</v>
      </c>
      <c r="I15" s="4">
        <f>D15*8%</f>
        <v>0</v>
      </c>
      <c r="J15" s="4">
        <f>SUM(F15:I15)</f>
        <v>0</v>
      </c>
      <c r="K15" s="4">
        <f>(D15-J15)</f>
        <v>0</v>
      </c>
      <c r="L15" s="4">
        <f>(K15*0%)</f>
        <v>0</v>
      </c>
      <c r="M15" s="4">
        <f>IF((K15-800000)&lt;=0,0,IF((K15-800000)&gt;=2200000,2200000*15%,(K15-800000)*15%))</f>
        <v>0</v>
      </c>
      <c r="N15" s="36">
        <f>IF((K15-(3000000))&lt;=0,0,IF((K15-(3000000))&gt;=9000000,9000000*18%,(K15-(3000000))*18%))</f>
        <v>0</v>
      </c>
      <c r="O15" s="37">
        <f>IF((K15-(12000000))&lt;=0,0,IF((K15-(12000000))&gt;=13000000,13000000*21%,(K15-(12000000))*21%))</f>
        <v>0</v>
      </c>
      <c r="P15" s="4">
        <f>IF((K15-(25000000))&lt;=0,0,IF((K15-(25000000))&gt;=25000000,25000000*23%,(K15-(25000000))*23%))</f>
        <v>0</v>
      </c>
      <c r="Q15" s="4">
        <f>IF((K15-(50000000))&lt;=0,0,(K15-(50000000))*25%)</f>
        <v>0</v>
      </c>
      <c r="R15" s="4">
        <f>SUM(L15:Q15)</f>
        <v>0</v>
      </c>
      <c r="S15" s="4">
        <f>R15/12</f>
        <v>0</v>
      </c>
    </row>
    <row r="16" ht="15.6" customHeight="1">
      <c r="A16" s="33">
        <v>10</v>
      </c>
      <c r="B16" s="25"/>
      <c r="C16" s="25"/>
      <c r="D16" s="4"/>
      <c r="E16" s="4"/>
      <c r="F16" s="35">
        <f>MIN(0.2*E16,500000)</f>
        <v>0</v>
      </c>
      <c r="G16" s="4">
        <f>D16*2.5%</f>
        <v>0</v>
      </c>
      <c r="H16" s="4">
        <f>D16*1.75%</f>
        <v>0</v>
      </c>
      <c r="I16" s="4">
        <f>D16*8%</f>
        <v>0</v>
      </c>
      <c r="J16" s="4">
        <f>SUM(F16:I16)</f>
        <v>0</v>
      </c>
      <c r="K16" s="4">
        <f>(D16-J16)</f>
        <v>0</v>
      </c>
      <c r="L16" s="4">
        <f>(K16*0%)</f>
        <v>0</v>
      </c>
      <c r="M16" s="4">
        <f>IF((K16-800000)&lt;=0,0,IF((K16-800000)&gt;=2200000,2200000*15%,(K16-800000)*15%))</f>
        <v>0</v>
      </c>
      <c r="N16" s="36">
        <f>IF((K16-(3000000))&lt;=0,0,IF((K16-(3000000))&gt;=9000000,9000000*18%,(K16-(3000000))*18%))</f>
        <v>0</v>
      </c>
      <c r="O16" s="37">
        <f>IF((K16-(12000000))&lt;=0,0,IF((K16-(12000000))&gt;=13000000,13000000*21%,(K16-(12000000))*21%))</f>
        <v>0</v>
      </c>
      <c r="P16" s="4">
        <f>IF((K16-(25000000))&lt;=0,0,IF((K16-(25000000))&gt;=25000000,25000000*23%,(K16-(25000000))*23%))</f>
        <v>0</v>
      </c>
      <c r="Q16" s="4">
        <f>IF((K16-(50000000))&lt;=0,0,(K16-(50000000))*25%)</f>
        <v>0</v>
      </c>
      <c r="R16" s="4">
        <f>SUM(L16:Q16)</f>
        <v>0</v>
      </c>
      <c r="S16" s="4">
        <f>R16/12</f>
        <v>0</v>
      </c>
    </row>
  </sheetData>
  <mergeCells count="13">
    <mergeCell ref="E3:I3"/>
    <mergeCell ref="G6:I6"/>
    <mergeCell ref="E4:E5"/>
    <mergeCell ref="J4:J5"/>
    <mergeCell ref="K4:K6"/>
    <mergeCell ref="Q4:Q5"/>
    <mergeCell ref="R4:R5"/>
    <mergeCell ref="S4:S5"/>
    <mergeCell ref="L4:L5"/>
    <mergeCell ref="M4:M5"/>
    <mergeCell ref="N4:N5"/>
    <mergeCell ref="O4:O5"/>
    <mergeCell ref="P4:P5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